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xj477\Documents\GitHub\EnergyEconomicsE2022\Misc\Data\"/>
    </mc:Choice>
  </mc:AlternateContent>
  <bookViews>
    <workbookView xWindow="0" yWindow="0" windowWidth="38400" windowHeight="17700" activeTab="5"/>
  </bookViews>
  <sheets>
    <sheet name="Log" sheetId="2" r:id="rId1"/>
    <sheet name="Fundamentals" sheetId="9" r:id="rId2"/>
    <sheet name="Load" sheetId="3" r:id="rId3"/>
    <sheet name="Scalars" sheetId="8" r:id="rId4"/>
    <sheet name="Generators_FuelMix" sheetId="10" r:id="rId5"/>
    <sheet name="Generators_Other" sheetId="11" r:id="rId6"/>
    <sheet name="Generators_Categories" sheetId="12" r:id="rId7"/>
    <sheet name="HourlyVariation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1" l="1"/>
  <c r="F4" i="11"/>
  <c r="F3" i="11"/>
  <c r="F2" i="11"/>
  <c r="E5" i="3" l="1"/>
</calcChain>
</file>

<file path=xl/sharedStrings.xml><?xml version="1.0" encoding="utf-8"?>
<sst xmlns="http://schemas.openxmlformats.org/spreadsheetml/2006/main" count="105" uniqueCount="61">
  <si>
    <t>Coal</t>
  </si>
  <si>
    <t>NatGas</t>
  </si>
  <si>
    <t>FuelPrice</t>
  </si>
  <si>
    <t>FuelPrice/BFt</t>
  </si>
  <si>
    <t>FuelPrice/FuelPrice</t>
  </si>
  <si>
    <t>EUR/GJ</t>
  </si>
  <si>
    <t>UNITS</t>
  </si>
  <si>
    <t>EmissionTax</t>
  </si>
  <si>
    <t>EmissionIntensity/BFt</t>
  </si>
  <si>
    <t>CO2</t>
  </si>
  <si>
    <t>EmissionIntensity/EmissionIntensity</t>
  </si>
  <si>
    <t>EmissionIntensity</t>
  </si>
  <si>
    <t>KG SO2/GJ</t>
  </si>
  <si>
    <t>T CO2/GJ</t>
  </si>
  <si>
    <t>EmissionTax/EmissionType</t>
  </si>
  <si>
    <t>EmissionIntensity/EmissionType</t>
  </si>
  <si>
    <t>EmissionTax/EmissionTax</t>
  </si>
  <si>
    <t>EUR/TCO2</t>
  </si>
  <si>
    <t>EUR/KGSO2</t>
  </si>
  <si>
    <t>Load</t>
  </si>
  <si>
    <t>FuelMix/BFt/id</t>
  </si>
  <si>
    <t>id1</t>
  </si>
  <si>
    <t>id2</t>
  </si>
  <si>
    <t>id3</t>
  </si>
  <si>
    <t>id4</t>
  </si>
  <si>
    <t>GeneratingCapacity</t>
  </si>
  <si>
    <t>GeneratingCapacity/id</t>
  </si>
  <si>
    <t>GeneratingCapacity/GeneratingCapacity</t>
  </si>
  <si>
    <t>OtherMC</t>
  </si>
  <si>
    <t>OtherMC/id</t>
  </si>
  <si>
    <t>OtherMC/OtherMC</t>
  </si>
  <si>
    <t>id2tech/id</t>
  </si>
  <si>
    <t>id2tech/tech</t>
  </si>
  <si>
    <t>Standard</t>
  </si>
  <si>
    <t>Wind</t>
  </si>
  <si>
    <t>FuelMix</t>
  </si>
  <si>
    <t>GJ</t>
  </si>
  <si>
    <t>EUR/GJ output</t>
  </si>
  <si>
    <t>GJ input / GJ output</t>
  </si>
  <si>
    <t>Load/Load</t>
  </si>
  <si>
    <t>Solar</t>
  </si>
  <si>
    <t>CapVariation/h/hvt</t>
  </si>
  <si>
    <t>LoadVariation</t>
  </si>
  <si>
    <t>LoadVariation/h</t>
  </si>
  <si>
    <t>LoadVariation/LoadVariation</t>
  </si>
  <si>
    <t>Coefficient in [0,1]. Sums to 1 over hours (h).</t>
  </si>
  <si>
    <t>CapVariation</t>
  </si>
  <si>
    <t>Coefficient in [0,1]. Scales hourly generation capacity compared to max.</t>
  </si>
  <si>
    <t>MWP_LoadShedding</t>
  </si>
  <si>
    <t>BioMass</t>
  </si>
  <si>
    <t>id2hvt/id</t>
  </si>
  <si>
    <t>id2hvt/hvt</t>
  </si>
  <si>
    <t>FOM</t>
  </si>
  <si>
    <t>FOM/id</t>
  </si>
  <si>
    <t>FOM/FOM</t>
  </si>
  <si>
    <t>( 1000 EUR / (GJ/h generating capacity) ) / year</t>
  </si>
  <si>
    <t>CO2Cap</t>
  </si>
  <si>
    <t>RESCap</t>
  </si>
  <si>
    <t>Load/c</t>
  </si>
  <si>
    <t>c1</t>
  </si>
  <si>
    <t>LoadVariation/c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</si>
</sst>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2" sqref="B2"/>
    </sheetView>
  </sheetViews>
  <sheetFormatPr defaultRowHeight="15" x14ac:dyDescent="0.25"/>
  <cols>
    <col min="1" max="1" width="19.85546875" bestFit="1" customWidth="1"/>
  </cols>
  <sheetData>
    <row r="1" spans="1:2" x14ac:dyDescent="0.25">
      <c r="A1" s="2" t="s">
        <v>6</v>
      </c>
    </row>
    <row r="2" spans="1:2" x14ac:dyDescent="0.25">
      <c r="A2" t="s">
        <v>2</v>
      </c>
      <c r="B2" t="s">
        <v>5</v>
      </c>
    </row>
    <row r="3" spans="1:2" x14ac:dyDescent="0.25">
      <c r="A3" t="s">
        <v>11</v>
      </c>
      <c r="B3" t="s">
        <v>13</v>
      </c>
    </row>
    <row r="4" spans="1:2" x14ac:dyDescent="0.25">
      <c r="A4" t="s">
        <v>11</v>
      </c>
      <c r="B4" t="s">
        <v>12</v>
      </c>
    </row>
    <row r="5" spans="1:2" x14ac:dyDescent="0.25">
      <c r="A5" t="s">
        <v>7</v>
      </c>
      <c r="B5" t="s">
        <v>17</v>
      </c>
    </row>
    <row r="6" spans="1:2" x14ac:dyDescent="0.25">
      <c r="A6" t="s">
        <v>7</v>
      </c>
      <c r="B6" t="s">
        <v>18</v>
      </c>
    </row>
    <row r="7" spans="1:2" x14ac:dyDescent="0.25">
      <c r="A7" t="s">
        <v>19</v>
      </c>
      <c r="B7" t="s">
        <v>36</v>
      </c>
    </row>
    <row r="8" spans="1:2" x14ac:dyDescent="0.25">
      <c r="A8" t="s">
        <v>35</v>
      </c>
      <c r="B8" t="s">
        <v>38</v>
      </c>
    </row>
    <row r="9" spans="1:2" x14ac:dyDescent="0.25">
      <c r="A9" t="s">
        <v>25</v>
      </c>
      <c r="B9" t="s">
        <v>36</v>
      </c>
    </row>
    <row r="10" spans="1:2" x14ac:dyDescent="0.25">
      <c r="A10" t="s">
        <v>28</v>
      </c>
      <c r="B10" t="s">
        <v>37</v>
      </c>
    </row>
    <row r="11" spans="1:2" x14ac:dyDescent="0.25">
      <c r="A11" t="s">
        <v>52</v>
      </c>
      <c r="B11" t="s">
        <v>55</v>
      </c>
    </row>
    <row r="12" spans="1:2" x14ac:dyDescent="0.25">
      <c r="A12" t="s">
        <v>42</v>
      </c>
      <c r="B12" t="s">
        <v>45</v>
      </c>
    </row>
    <row r="13" spans="1:2" x14ac:dyDescent="0.25">
      <c r="A13" t="s">
        <v>46</v>
      </c>
      <c r="B13" t="s">
        <v>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8.7109375" bestFit="1" customWidth="1"/>
    <col min="3" max="3" width="20.7109375" bestFit="1" customWidth="1"/>
    <col min="4" max="4" width="30.5703125" bestFit="1" customWidth="1"/>
    <col min="5" max="5" width="34.140625" bestFit="1" customWidth="1"/>
    <col min="6" max="7" width="25.28515625" bestFit="1" customWidth="1"/>
  </cols>
  <sheetData>
    <row r="1" spans="1:7" x14ac:dyDescent="0.25">
      <c r="A1" s="2" t="s">
        <v>3</v>
      </c>
      <c r="B1" s="2" t="s">
        <v>4</v>
      </c>
      <c r="C1" s="2" t="s">
        <v>8</v>
      </c>
      <c r="D1" s="2" t="s">
        <v>15</v>
      </c>
      <c r="E1" s="2" t="s">
        <v>10</v>
      </c>
      <c r="F1" s="2" t="s">
        <v>14</v>
      </c>
      <c r="G1" s="2" t="s">
        <v>16</v>
      </c>
    </row>
    <row r="2" spans="1:7" x14ac:dyDescent="0.25">
      <c r="A2" t="s">
        <v>0</v>
      </c>
      <c r="B2" s="1">
        <v>2.3624622108362896</v>
      </c>
      <c r="C2" t="s">
        <v>0</v>
      </c>
      <c r="D2" t="s">
        <v>9</v>
      </c>
      <c r="E2">
        <v>9.4370000000000009E-2</v>
      </c>
      <c r="F2" t="s">
        <v>9</v>
      </c>
      <c r="G2">
        <v>0</v>
      </c>
    </row>
    <row r="3" spans="1:7" x14ac:dyDescent="0.25">
      <c r="A3" t="s">
        <v>1</v>
      </c>
      <c r="B3" s="1">
        <v>5.0462416510206998</v>
      </c>
      <c r="C3" t="s">
        <v>1</v>
      </c>
      <c r="D3" t="s">
        <v>9</v>
      </c>
      <c r="E3">
        <v>5.7000000000000002E-2</v>
      </c>
    </row>
    <row r="4" spans="1:7" x14ac:dyDescent="0.25">
      <c r="A4" t="s">
        <v>49</v>
      </c>
      <c r="B4" s="1">
        <v>10.335570469798657</v>
      </c>
      <c r="C4" t="s">
        <v>49</v>
      </c>
      <c r="D4" t="s">
        <v>9</v>
      </c>
      <c r="E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27" sqref="D27"/>
    </sheetView>
  </sheetViews>
  <sheetFormatPr defaultRowHeight="15" x14ac:dyDescent="0.25"/>
  <cols>
    <col min="3" max="3" width="13.5703125" bestFit="1" customWidth="1"/>
    <col min="4" max="4" width="14.140625" bestFit="1" customWidth="1"/>
    <col min="5" max="5" width="24.5703125" bestFit="1" customWidth="1"/>
    <col min="6" max="6" width="19.28515625" bestFit="1" customWidth="1"/>
    <col min="7" max="7" width="36.140625" bestFit="1" customWidth="1"/>
  </cols>
  <sheetData>
    <row r="1" spans="1:5" x14ac:dyDescent="0.25">
      <c r="A1" t="s">
        <v>58</v>
      </c>
      <c r="B1" t="s">
        <v>39</v>
      </c>
      <c r="C1" t="s">
        <v>60</v>
      </c>
      <c r="D1" t="s">
        <v>43</v>
      </c>
      <c r="E1" t="s">
        <v>44</v>
      </c>
    </row>
    <row r="2" spans="1:5" x14ac:dyDescent="0.25">
      <c r="A2" t="s">
        <v>59</v>
      </c>
      <c r="B2">
        <v>400</v>
      </c>
      <c r="C2" t="s">
        <v>59</v>
      </c>
      <c r="D2">
        <v>1</v>
      </c>
      <c r="E2">
        <v>0.1</v>
      </c>
    </row>
    <row r="3" spans="1:5" x14ac:dyDescent="0.25">
      <c r="C3" t="s">
        <v>59</v>
      </c>
      <c r="D3">
        <v>2</v>
      </c>
      <c r="E3">
        <v>0.3</v>
      </c>
    </row>
    <row r="4" spans="1:5" x14ac:dyDescent="0.25">
      <c r="C4" t="s">
        <v>59</v>
      </c>
      <c r="D4">
        <v>3</v>
      </c>
      <c r="E4">
        <v>0.5</v>
      </c>
    </row>
    <row r="5" spans="1:5" x14ac:dyDescent="0.25">
      <c r="C5" t="s">
        <v>59</v>
      </c>
      <c r="D5">
        <v>4</v>
      </c>
      <c r="E5">
        <f>1-SUM(E2:E4)</f>
        <v>9.9999999999999978E-2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" sqref="B1"/>
    </sheetView>
  </sheetViews>
  <sheetFormatPr defaultRowHeight="15" x14ac:dyDescent="0.25"/>
  <cols>
    <col min="1" max="1" width="18" bestFit="1" customWidth="1"/>
  </cols>
  <sheetData>
    <row r="1" spans="1:2" x14ac:dyDescent="0.25">
      <c r="A1" t="s">
        <v>48</v>
      </c>
      <c r="B1">
        <v>25</v>
      </c>
    </row>
    <row r="2" spans="1:2" x14ac:dyDescent="0.25">
      <c r="A2" t="s">
        <v>56</v>
      </c>
      <c r="B2">
        <v>10</v>
      </c>
    </row>
    <row r="3" spans="1:2" x14ac:dyDescent="0.25">
      <c r="A3" t="s">
        <v>57</v>
      </c>
      <c r="B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F17" sqref="F17"/>
    </sheetView>
  </sheetViews>
  <sheetFormatPr defaultRowHeight="15" x14ac:dyDescent="0.25"/>
  <cols>
    <col min="1" max="1" width="14.5703125" bestFit="1" customWidth="1"/>
  </cols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0</v>
      </c>
      <c r="B2">
        <v>1.35</v>
      </c>
      <c r="C2">
        <v>0</v>
      </c>
      <c r="D2">
        <v>0</v>
      </c>
      <c r="E2">
        <v>0</v>
      </c>
    </row>
    <row r="3" spans="1:5" x14ac:dyDescent="0.25">
      <c r="A3" t="s">
        <v>1</v>
      </c>
      <c r="B3">
        <v>0</v>
      </c>
      <c r="C3">
        <v>1.3</v>
      </c>
      <c r="D3">
        <v>0</v>
      </c>
      <c r="E3">
        <v>0</v>
      </c>
    </row>
    <row r="4" spans="1:5" x14ac:dyDescent="0.25">
      <c r="A4" t="s">
        <v>49</v>
      </c>
      <c r="B4">
        <v>0</v>
      </c>
      <c r="C4">
        <v>0</v>
      </c>
      <c r="D4">
        <v>1.2</v>
      </c>
      <c r="E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3" sqref="D13"/>
    </sheetView>
  </sheetViews>
  <sheetFormatPr defaultRowHeight="15" x14ac:dyDescent="0.25"/>
  <cols>
    <col min="1" max="1" width="21.140625" bestFit="1" customWidth="1"/>
    <col min="2" max="2" width="37.28515625" bestFit="1" customWidth="1"/>
    <col min="3" max="3" width="11.5703125" bestFit="1" customWidth="1"/>
    <col min="4" max="4" width="18.140625" bestFit="1" customWidth="1"/>
  </cols>
  <sheetData>
    <row r="1" spans="1:6" x14ac:dyDescent="0.25">
      <c r="A1" s="3" t="s">
        <v>26</v>
      </c>
      <c r="B1" s="3" t="s">
        <v>27</v>
      </c>
      <c r="C1" t="s">
        <v>29</v>
      </c>
      <c r="D1" t="s">
        <v>30</v>
      </c>
      <c r="E1" t="s">
        <v>53</v>
      </c>
      <c r="F1" t="s">
        <v>54</v>
      </c>
    </row>
    <row r="2" spans="1:6" x14ac:dyDescent="0.25">
      <c r="A2" t="s">
        <v>21</v>
      </c>
      <c r="B2">
        <v>50</v>
      </c>
      <c r="C2" t="s">
        <v>21</v>
      </c>
      <c r="D2">
        <v>3</v>
      </c>
      <c r="E2" t="s">
        <v>21</v>
      </c>
      <c r="F2">
        <f>31000/(1000*3.6)</f>
        <v>8.6111111111111107</v>
      </c>
    </row>
    <row r="3" spans="1:6" x14ac:dyDescent="0.25">
      <c r="A3" t="s">
        <v>22</v>
      </c>
      <c r="B3">
        <v>30</v>
      </c>
      <c r="C3" t="s">
        <v>22</v>
      </c>
      <c r="D3">
        <v>3</v>
      </c>
      <c r="E3" t="s">
        <v>22</v>
      </c>
      <c r="F3">
        <f>29300/(1000*3.6)</f>
        <v>8.1388888888888893</v>
      </c>
    </row>
    <row r="4" spans="1:6" x14ac:dyDescent="0.25">
      <c r="A4" t="s">
        <v>23</v>
      </c>
      <c r="B4">
        <v>60</v>
      </c>
      <c r="C4" t="s">
        <v>23</v>
      </c>
      <c r="D4">
        <v>3</v>
      </c>
      <c r="E4" t="s">
        <v>23</v>
      </c>
      <c r="F4">
        <f>28800/(1000*3.6)</f>
        <v>8</v>
      </c>
    </row>
    <row r="5" spans="1:6" x14ac:dyDescent="0.25">
      <c r="A5" t="s">
        <v>24</v>
      </c>
      <c r="B5">
        <v>35</v>
      </c>
      <c r="C5" t="s">
        <v>24</v>
      </c>
      <c r="D5">
        <v>3</v>
      </c>
      <c r="E5" t="s">
        <v>24</v>
      </c>
      <c r="F5">
        <f>50000/(1000*3.6)</f>
        <v>13.888888888888889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L11" sqref="L11"/>
    </sheetView>
  </sheetViews>
  <sheetFormatPr defaultRowHeight="15" x14ac:dyDescent="0.25"/>
  <cols>
    <col min="1" max="1" width="10.140625" bestFit="1" customWidth="1"/>
    <col min="2" max="2" width="12.28515625" bestFit="1" customWidth="1"/>
  </cols>
  <sheetData>
    <row r="1" spans="1:4" x14ac:dyDescent="0.25">
      <c r="A1" t="s">
        <v>31</v>
      </c>
      <c r="B1" t="s">
        <v>32</v>
      </c>
      <c r="C1" t="s">
        <v>50</v>
      </c>
      <c r="D1" t="s">
        <v>51</v>
      </c>
    </row>
    <row r="2" spans="1:4" x14ac:dyDescent="0.25">
      <c r="A2" t="s">
        <v>21</v>
      </c>
      <c r="B2" t="s">
        <v>33</v>
      </c>
      <c r="C2" t="s">
        <v>21</v>
      </c>
      <c r="D2" t="s">
        <v>33</v>
      </c>
    </row>
    <row r="3" spans="1:4" x14ac:dyDescent="0.25">
      <c r="A3" t="s">
        <v>22</v>
      </c>
      <c r="B3" t="s">
        <v>33</v>
      </c>
      <c r="C3" t="s">
        <v>22</v>
      </c>
      <c r="D3" t="s">
        <v>33</v>
      </c>
    </row>
    <row r="4" spans="1:4" x14ac:dyDescent="0.25">
      <c r="A4" t="s">
        <v>23</v>
      </c>
      <c r="B4" t="s">
        <v>33</v>
      </c>
      <c r="C4" t="s">
        <v>23</v>
      </c>
      <c r="D4" t="s">
        <v>33</v>
      </c>
    </row>
    <row r="5" spans="1:4" x14ac:dyDescent="0.25">
      <c r="A5" t="s">
        <v>24</v>
      </c>
      <c r="B5" t="s">
        <v>34</v>
      </c>
      <c r="C5" t="s">
        <v>24</v>
      </c>
      <c r="D5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4" sqref="D4"/>
    </sheetView>
  </sheetViews>
  <sheetFormatPr defaultRowHeight="15" x14ac:dyDescent="0.25"/>
  <cols>
    <col min="1" max="1" width="16.5703125" bestFit="1" customWidth="1"/>
  </cols>
  <sheetData>
    <row r="1" spans="1:4" x14ac:dyDescent="0.25">
      <c r="A1" t="s">
        <v>41</v>
      </c>
      <c r="B1" t="s">
        <v>33</v>
      </c>
      <c r="C1" t="s">
        <v>34</v>
      </c>
      <c r="D1" t="s">
        <v>40</v>
      </c>
    </row>
    <row r="2" spans="1:4" x14ac:dyDescent="0.25">
      <c r="A2">
        <v>1</v>
      </c>
      <c r="B2">
        <v>1</v>
      </c>
      <c r="C2">
        <v>1</v>
      </c>
      <c r="D2">
        <v>0</v>
      </c>
    </row>
    <row r="3" spans="1:4" x14ac:dyDescent="0.25">
      <c r="A3">
        <v>2</v>
      </c>
      <c r="B3">
        <v>1</v>
      </c>
      <c r="C3">
        <v>0.5</v>
      </c>
      <c r="D3">
        <v>0.5</v>
      </c>
    </row>
    <row r="4" spans="1:4" x14ac:dyDescent="0.25">
      <c r="A4">
        <v>3</v>
      </c>
      <c r="B4">
        <v>1</v>
      </c>
      <c r="C4">
        <v>0.25</v>
      </c>
      <c r="D4">
        <v>1</v>
      </c>
    </row>
    <row r="5" spans="1:4" x14ac:dyDescent="0.25">
      <c r="A5">
        <v>4</v>
      </c>
      <c r="B5">
        <v>1</v>
      </c>
      <c r="C5">
        <v>0.8</v>
      </c>
      <c r="D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</vt:lpstr>
      <vt:lpstr>Fundamentals</vt:lpstr>
      <vt:lpstr>Load</vt:lpstr>
      <vt:lpstr>Scalars</vt:lpstr>
      <vt:lpstr>Generators_FuelMix</vt:lpstr>
      <vt:lpstr>Generators_Other</vt:lpstr>
      <vt:lpstr>Generators_Categories</vt:lpstr>
      <vt:lpstr>HourlyVariation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Berg</dc:creator>
  <cp:lastModifiedBy>Rasmus Kehlet Berg</cp:lastModifiedBy>
  <dcterms:created xsi:type="dcterms:W3CDTF">2022-06-30T06:44:13Z</dcterms:created>
  <dcterms:modified xsi:type="dcterms:W3CDTF">2023-03-20T12:41:34Z</dcterms:modified>
</cp:coreProperties>
</file>